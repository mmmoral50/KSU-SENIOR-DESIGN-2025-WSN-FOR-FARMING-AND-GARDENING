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ennesawedu-my.sharepoint.com/personal/mmoral45_students_kennesaw_edu/Documents/Documents/College Courses/Electrical Engineering Courses/EE 4800 Senior Project/Senior Design/Our Design/BOM/"/>
    </mc:Choice>
  </mc:AlternateContent>
  <xr:revisionPtr revIDLastSave="0" documentId="8_{F8AD0FF1-A2B4-4E4D-A3A9-E239E9E732B7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J15" i="1"/>
</calcChain>
</file>

<file path=xl/sharedStrings.xml><?xml version="1.0" encoding="utf-8"?>
<sst xmlns="http://schemas.openxmlformats.org/spreadsheetml/2006/main" count="82" uniqueCount="75">
  <si>
    <t>Item #</t>
  </si>
  <si>
    <t>Category</t>
  </si>
  <si>
    <t>Qty</t>
  </si>
  <si>
    <t>Reference</t>
  </si>
  <si>
    <t>Description</t>
  </si>
  <si>
    <t>Manufacturer</t>
  </si>
  <si>
    <t>MPN</t>
  </si>
  <si>
    <t>Supplier</t>
  </si>
  <si>
    <t>Supplier Link</t>
  </si>
  <si>
    <t>Pack Price (USD)</t>
  </si>
  <si>
    <t>Units per Pack</t>
  </si>
  <si>
    <t>Unit Cost (USD, est.)</t>
  </si>
  <si>
    <t>MCU / Radio Node</t>
  </si>
  <si>
    <t>Soil Sensor</t>
  </si>
  <si>
    <t>Solar / Battery Pack</t>
  </si>
  <si>
    <t>DC-DC Buck Converter</t>
  </si>
  <si>
    <t>DC-DC Boost Converter</t>
  </si>
  <si>
    <t>RS485 Interface</t>
  </si>
  <si>
    <t>Enclosure</t>
  </si>
  <si>
    <t>Waterproof USB Panel Connector</t>
  </si>
  <si>
    <t>USB Cable</t>
  </si>
  <si>
    <t>LoRa Antennas (extra)</t>
  </si>
  <si>
    <t>U1</t>
  </si>
  <si>
    <t>S1</t>
  </si>
  <si>
    <t>P1</t>
  </si>
  <si>
    <t>U2</t>
  </si>
  <si>
    <t>U3</t>
  </si>
  <si>
    <t>U4</t>
  </si>
  <si>
    <t>ME1</t>
  </si>
  <si>
    <t>J1</t>
  </si>
  <si>
    <t>J2</t>
  </si>
  <si>
    <t>ANT1</t>
  </si>
  <si>
    <t>SP3485 RS‑485 Half‑Duplex Transceiver Breakout</t>
  </si>
  <si>
    <t>Up/Down Angled USB 2.0 Type‑A Male to USB‑C Male Flat FPC Cable, 20 cm</t>
  </si>
  <si>
    <t>Meshnology</t>
  </si>
  <si>
    <t>ComWinTop</t>
  </si>
  <si>
    <t>E EGOWAY</t>
  </si>
  <si>
    <t>Seloky</t>
  </si>
  <si>
    <t>DORHEA</t>
  </si>
  <si>
    <t>SparkFun</t>
  </si>
  <si>
    <t>Joinfworld</t>
  </si>
  <si>
    <t>ELifeApply</t>
  </si>
  <si>
    <t>cablecc</t>
  </si>
  <si>
    <t>Tenmory</t>
  </si>
  <si>
    <t>ESP32 LoRa V3 (N32 Version)</t>
  </si>
  <si>
    <t>NPKPHCTH-S</t>
  </si>
  <si>
    <t>A1 3W 4000mAh Solar Battery Kit</t>
  </si>
  <si>
    <t>LM2596 Buck Module</t>
  </si>
  <si>
    <t>MT3608 Boost Module</t>
  </si>
  <si>
    <t>BOB-10124 or equivalent SP3485 breakout</t>
  </si>
  <si>
    <t>8.7x6.7x4.3 Clear</t>
  </si>
  <si>
    <t>YPM20</t>
  </si>
  <si>
    <t>USB2.0 Type‑A to Type‑C FPC 0.2 m</t>
  </si>
  <si>
    <t>915MHz LoRa Antenna Kit</t>
  </si>
  <si>
    <t>Amazon</t>
  </si>
  <si>
    <t>AliExpress</t>
  </si>
  <si>
    <t>Amazon / SparkFun</t>
  </si>
  <si>
    <t>https://a.co/d/4nPVc6x</t>
  </si>
  <si>
    <t>https://a.co/d/dVpSEe1</t>
  </si>
  <si>
    <t>https://a.co/d/8p8AamR</t>
  </si>
  <si>
    <t>https://a.co/d/hs81LBg</t>
  </si>
  <si>
    <t>https://a.co/d/28kEnXv</t>
  </si>
  <si>
    <t>https://a.co/d/0HdTCjP</t>
  </si>
  <si>
    <t>https://a.co/d/3HTDQiB</t>
  </si>
  <si>
    <t>https://a.co/d/dfFpVHZ</t>
  </si>
  <si>
    <t>https://a.co/d/5vPsj1n</t>
  </si>
  <si>
    <t xml:space="preserve">RS485 7-1 Sensor </t>
  </si>
  <si>
    <t>ESP32 LoRa V3 Development Board w/ 915MHz Antenna, 3000mAh Battery</t>
  </si>
  <si>
    <t>7-1 Soil Sensor, 4‑20mA / 0‑5V RS485 Modbus</t>
  </si>
  <si>
    <t xml:space="preserve"> Solar Panel 12V/6V with 3W Panel + 4000mAh Battery (IP66)</t>
  </si>
  <si>
    <t>MT3608 DC‑DC Step‑Up Boost Converter 2A Adjustable</t>
  </si>
  <si>
    <t xml:space="preserve">LM2596 Adjustable DC-DC Step-Down Buck Converter Module </t>
  </si>
  <si>
    <t>Outdoor Weatherproof Enclosure, Locking Box 8.7"×6.7"×4.3" Clear</t>
  </si>
  <si>
    <t>Waterproof Panel USB Connector, IP68 USB 3.0 Panel Mount, Female‑to‑Female</t>
  </si>
  <si>
    <t xml:space="preserve">915 MHz LoRa Antenna 3 dBi Omni SMA Male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</si>
</sst>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u/>
      <sz val="12"/>
      <color theme="10"/>
      <name val="Times New Roman"/>
      <family val="1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4" fillId="3" borderId="1" xfId="1" applyFont="1" applyFill="1" applyBorder="1" applyAlignment="1" applyProtection="1">
      <alignment horizontal="center"/>
    </xf>
    <xf numFmtId="0" fontId="5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dfFpVHZ" TargetMode="External"/><Relationship Id="rId3" Type="http://schemas.openxmlformats.org/officeDocument/2006/relationships/hyperlink" Target="https://a.co/d/8p8AamR" TargetMode="External"/><Relationship Id="rId7" Type="http://schemas.openxmlformats.org/officeDocument/2006/relationships/hyperlink" Target="https://a.co/d/3HTDQiB" TargetMode="External"/><Relationship Id="rId2" Type="http://schemas.openxmlformats.org/officeDocument/2006/relationships/hyperlink" Target="https://a.co/d/dVpSEe1" TargetMode="External"/><Relationship Id="rId1" Type="http://schemas.openxmlformats.org/officeDocument/2006/relationships/hyperlink" Target="https://a.co/d/4nPVc6x" TargetMode="External"/><Relationship Id="rId6" Type="http://schemas.openxmlformats.org/officeDocument/2006/relationships/hyperlink" Target="https://a.co/d/0HdTCjP" TargetMode="External"/><Relationship Id="rId5" Type="http://schemas.openxmlformats.org/officeDocument/2006/relationships/hyperlink" Target="https://a.co/d/28kEnXv" TargetMode="External"/><Relationship Id="rId10" Type="http://schemas.openxmlformats.org/officeDocument/2006/relationships/hyperlink" Target="https://www.aliexpress.us/item/3256801338530820.html?spm=a2g0o.order_list.order_list_main.5.31231802dFQmjo&amp;gatewayAdapt=glo2usa" TargetMode="External"/><Relationship Id="rId4" Type="http://schemas.openxmlformats.org/officeDocument/2006/relationships/hyperlink" Target="https://a.co/d/hs81LBg" TargetMode="External"/><Relationship Id="rId9" Type="http://schemas.openxmlformats.org/officeDocument/2006/relationships/hyperlink" Target="https://a.co/d/5vPsj1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2" sqref="I2"/>
    </sheetView>
  </sheetViews>
  <sheetFormatPr defaultRowHeight="15" x14ac:dyDescent="0.25"/>
  <cols>
    <col min="1" max="1" width="10.7109375" customWidth="1"/>
    <col min="2" max="2" width="35.140625" customWidth="1"/>
    <col min="4" max="4" width="15.5703125" customWidth="1"/>
    <col min="5" max="5" width="74.7109375" customWidth="1"/>
    <col min="6" max="6" width="17.7109375" customWidth="1"/>
    <col min="7" max="7" width="41.140625" customWidth="1"/>
    <col min="8" max="8" width="19.28515625" customWidth="1"/>
    <col min="9" max="9" width="24.7109375" customWidth="1"/>
    <col min="10" max="10" width="27.28515625" customWidth="1"/>
    <col min="11" max="11" width="19.28515625" customWidth="1"/>
    <col min="12" max="12" width="31.140625" customWidth="1"/>
    <col min="13" max="13" width="19.42578125" customWidth="1"/>
  </cols>
  <sheetData>
    <row r="1" spans="1:12" ht="1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5.75" x14ac:dyDescent="0.25">
      <c r="A2" s="2">
        <v>1</v>
      </c>
      <c r="B2" s="2" t="s">
        <v>12</v>
      </c>
      <c r="C2" s="2">
        <v>1</v>
      </c>
      <c r="D2" s="2" t="s">
        <v>22</v>
      </c>
      <c r="E2" s="2" t="s">
        <v>67</v>
      </c>
      <c r="F2" s="2" t="s">
        <v>34</v>
      </c>
      <c r="G2" s="2" t="s">
        <v>44</v>
      </c>
      <c r="H2" s="2" t="s">
        <v>54</v>
      </c>
      <c r="I2" s="4" t="s">
        <v>57</v>
      </c>
      <c r="J2" s="2">
        <v>74.89</v>
      </c>
      <c r="K2" s="2">
        <v>2</v>
      </c>
      <c r="L2" s="2">
        <v>37.450000000000003</v>
      </c>
    </row>
    <row r="3" spans="1:12" ht="15.75" x14ac:dyDescent="0.25">
      <c r="A3" s="2">
        <v>2</v>
      </c>
      <c r="B3" s="2" t="s">
        <v>13</v>
      </c>
      <c r="C3" s="2">
        <v>1</v>
      </c>
      <c r="D3" s="2" t="s">
        <v>23</v>
      </c>
      <c r="E3" s="2" t="s">
        <v>68</v>
      </c>
      <c r="F3" s="2" t="s">
        <v>35</v>
      </c>
      <c r="G3" s="2" t="s">
        <v>45</v>
      </c>
      <c r="H3" s="2" t="s">
        <v>55</v>
      </c>
      <c r="I3" s="4" t="s">
        <v>66</v>
      </c>
      <c r="J3" s="2">
        <v>54.43</v>
      </c>
      <c r="K3" s="2">
        <v>1</v>
      </c>
      <c r="L3" s="2">
        <v>54.43</v>
      </c>
    </row>
    <row r="4" spans="1:12" ht="15.75" x14ac:dyDescent="0.25">
      <c r="A4" s="2">
        <v>3</v>
      </c>
      <c r="B4" s="2" t="s">
        <v>14</v>
      </c>
      <c r="C4" s="2">
        <v>1</v>
      </c>
      <c r="D4" s="2" t="s">
        <v>24</v>
      </c>
      <c r="E4" s="2" t="s">
        <v>69</v>
      </c>
      <c r="F4" s="2" t="s">
        <v>36</v>
      </c>
      <c r="G4" s="2" t="s">
        <v>46</v>
      </c>
      <c r="H4" s="2" t="s">
        <v>54</v>
      </c>
      <c r="I4" s="4" t="s">
        <v>58</v>
      </c>
      <c r="J4" s="2">
        <v>37.99</v>
      </c>
      <c r="K4" s="2">
        <v>1</v>
      </c>
      <c r="L4" s="2">
        <v>37.99</v>
      </c>
    </row>
    <row r="5" spans="1:12" ht="15.75" x14ac:dyDescent="0.25">
      <c r="A5" s="2">
        <v>4</v>
      </c>
      <c r="B5" s="2" t="s">
        <v>15</v>
      </c>
      <c r="C5" s="2">
        <v>1</v>
      </c>
      <c r="D5" s="2" t="s">
        <v>25</v>
      </c>
      <c r="E5" s="2" t="s">
        <v>71</v>
      </c>
      <c r="F5" s="2" t="s">
        <v>37</v>
      </c>
      <c r="G5" s="2" t="s">
        <v>47</v>
      </c>
      <c r="H5" s="2" t="s">
        <v>54</v>
      </c>
      <c r="I5" s="4" t="s">
        <v>59</v>
      </c>
      <c r="J5" s="2">
        <v>6.99</v>
      </c>
      <c r="K5" s="2">
        <v>1</v>
      </c>
      <c r="L5" s="2">
        <v>6.99</v>
      </c>
    </row>
    <row r="6" spans="1:12" ht="15.75" x14ac:dyDescent="0.25">
      <c r="A6" s="2">
        <v>5</v>
      </c>
      <c r="B6" s="2" t="s">
        <v>16</v>
      </c>
      <c r="C6" s="2">
        <v>1</v>
      </c>
      <c r="D6" s="2" t="s">
        <v>26</v>
      </c>
      <c r="E6" s="2" t="s">
        <v>70</v>
      </c>
      <c r="F6" s="2" t="s">
        <v>38</v>
      </c>
      <c r="G6" s="2" t="s">
        <v>48</v>
      </c>
      <c r="H6" s="2" t="s">
        <v>54</v>
      </c>
      <c r="I6" s="4" t="s">
        <v>60</v>
      </c>
      <c r="J6" s="2">
        <v>4.99</v>
      </c>
      <c r="K6" s="2">
        <v>5</v>
      </c>
      <c r="L6" s="2">
        <v>1</v>
      </c>
    </row>
    <row r="7" spans="1:12" ht="15.75" x14ac:dyDescent="0.25">
      <c r="A7" s="2">
        <v>6</v>
      </c>
      <c r="B7" s="2" t="s">
        <v>17</v>
      </c>
      <c r="C7" s="2">
        <v>1</v>
      </c>
      <c r="D7" s="2" t="s">
        <v>27</v>
      </c>
      <c r="E7" s="2" t="s">
        <v>32</v>
      </c>
      <c r="F7" s="2" t="s">
        <v>39</v>
      </c>
      <c r="G7" s="2" t="s">
        <v>49</v>
      </c>
      <c r="H7" s="2" t="s">
        <v>56</v>
      </c>
      <c r="I7" s="4" t="s">
        <v>61</v>
      </c>
      <c r="J7" s="2">
        <v>12.5</v>
      </c>
      <c r="K7" s="2">
        <v>1</v>
      </c>
      <c r="L7" s="2">
        <v>12.5</v>
      </c>
    </row>
    <row r="8" spans="1:12" ht="15.75" x14ac:dyDescent="0.25">
      <c r="A8" s="2">
        <v>7</v>
      </c>
      <c r="B8" s="2" t="s">
        <v>18</v>
      </c>
      <c r="C8" s="2">
        <v>1</v>
      </c>
      <c r="D8" s="2" t="s">
        <v>28</v>
      </c>
      <c r="E8" s="2" t="s">
        <v>72</v>
      </c>
      <c r="F8" s="2" t="s">
        <v>40</v>
      </c>
      <c r="G8" s="2" t="s">
        <v>50</v>
      </c>
      <c r="H8" s="2" t="s">
        <v>54</v>
      </c>
      <c r="I8" s="4" t="s">
        <v>62</v>
      </c>
      <c r="J8" s="2">
        <v>25.99</v>
      </c>
      <c r="K8" s="2">
        <v>1</v>
      </c>
      <c r="L8" s="2">
        <v>25.99</v>
      </c>
    </row>
    <row r="9" spans="1:12" ht="15.75" x14ac:dyDescent="0.25">
      <c r="A9" s="2">
        <v>8</v>
      </c>
      <c r="B9" s="2" t="s">
        <v>19</v>
      </c>
      <c r="C9" s="2">
        <v>1</v>
      </c>
      <c r="D9" s="2" t="s">
        <v>29</v>
      </c>
      <c r="E9" s="2" t="s">
        <v>73</v>
      </c>
      <c r="F9" s="2" t="s">
        <v>41</v>
      </c>
      <c r="G9" s="2" t="s">
        <v>51</v>
      </c>
      <c r="H9" s="2" t="s">
        <v>54</v>
      </c>
      <c r="I9" s="4" t="s">
        <v>63</v>
      </c>
      <c r="J9" s="2">
        <v>12.99</v>
      </c>
      <c r="K9" s="2">
        <v>2</v>
      </c>
      <c r="L9" s="2">
        <v>6.5</v>
      </c>
    </row>
    <row r="10" spans="1:12" ht="15.75" x14ac:dyDescent="0.25">
      <c r="A10" s="2">
        <v>9</v>
      </c>
      <c r="B10" s="2" t="s">
        <v>20</v>
      </c>
      <c r="C10" s="2">
        <v>1</v>
      </c>
      <c r="D10" s="2" t="s">
        <v>30</v>
      </c>
      <c r="E10" s="2" t="s">
        <v>33</v>
      </c>
      <c r="F10" s="2" t="s">
        <v>42</v>
      </c>
      <c r="G10" s="2" t="s">
        <v>52</v>
      </c>
      <c r="H10" s="2" t="s">
        <v>54</v>
      </c>
      <c r="I10" s="4" t="s">
        <v>64</v>
      </c>
      <c r="J10" s="2">
        <v>8.5399999999999991</v>
      </c>
      <c r="K10" s="2">
        <v>1</v>
      </c>
      <c r="L10" s="2">
        <v>8.5399999999999991</v>
      </c>
    </row>
    <row r="11" spans="1:12" ht="15.75" x14ac:dyDescent="0.25">
      <c r="A11" s="2">
        <v>10</v>
      </c>
      <c r="B11" s="2" t="s">
        <v>21</v>
      </c>
      <c r="C11" s="2">
        <v>1</v>
      </c>
      <c r="D11" s="2" t="s">
        <v>31</v>
      </c>
      <c r="E11" s="2" t="s">
        <v>74</v>
      </c>
      <c r="F11" s="2" t="s">
        <v>43</v>
      </c>
      <c r="G11" s="2" t="s">
        <v>53</v>
      </c>
      <c r="H11" s="2" t="s">
        <v>54</v>
      </c>
      <c r="I11" s="4" t="s">
        <v>65</v>
      </c>
      <c r="J11" s="2">
        <v>11.49</v>
      </c>
      <c r="K11" s="2">
        <v>2</v>
      </c>
      <c r="L11" s="2">
        <v>5.75</v>
      </c>
    </row>
    <row r="12" spans="1:12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"/>
    </row>
    <row r="13" spans="1:12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.7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5.75" x14ac:dyDescent="0.25">
      <c r="A15" s="2"/>
      <c r="B15" s="2"/>
      <c r="C15" s="2"/>
      <c r="D15" s="2"/>
      <c r="E15" s="2"/>
      <c r="F15" s="2"/>
      <c r="G15" s="2"/>
      <c r="H15" s="2"/>
      <c r="I15" s="2"/>
      <c r="J15" s="5" t="str">
        <f>"Total: $" &amp; SUM(J2:J11)</f>
        <v>Total: $250.8</v>
      </c>
      <c r="K15" s="2"/>
      <c r="L15" s="5" t="str">
        <f>"Total: $" &amp; SUM(L2:L11)</f>
        <v>Total: $197.14</v>
      </c>
    </row>
  </sheetData>
  <hyperlinks>
    <hyperlink ref="I2" r:id="rId1" xr:uid="{00000000-0004-0000-0000-000000000000}"/>
    <hyperlink ref="I4" r:id="rId2" xr:uid="{00000000-0004-0000-0000-000002000000}"/>
    <hyperlink ref="I5" r:id="rId3" xr:uid="{00000000-0004-0000-0000-000003000000}"/>
    <hyperlink ref="I6" r:id="rId4" xr:uid="{00000000-0004-0000-0000-000004000000}"/>
    <hyperlink ref="I7" r:id="rId5" xr:uid="{00000000-0004-0000-0000-000005000000}"/>
    <hyperlink ref="I8" r:id="rId6" xr:uid="{00000000-0004-0000-0000-000006000000}"/>
    <hyperlink ref="I9" r:id="rId7" xr:uid="{00000000-0004-0000-0000-000007000000}"/>
    <hyperlink ref="I10" r:id="rId8" xr:uid="{00000000-0004-0000-0000-000008000000}"/>
    <hyperlink ref="I11" r:id="rId9" xr:uid="{00000000-0004-0000-0000-000009000000}"/>
    <hyperlink ref="I3" r:id="rId10" location="nav-description" xr:uid="{854CFC71-B653-458A-9F93-7EF7DA8020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Morales</dc:creator>
  <cp:lastModifiedBy>Marlon Morales</cp:lastModifiedBy>
  <dcterms:created xsi:type="dcterms:W3CDTF">2025-11-17T01:54:34Z</dcterms:created>
  <dcterms:modified xsi:type="dcterms:W3CDTF">2025-11-17T02:40:04Z</dcterms:modified>
</cp:coreProperties>
</file>